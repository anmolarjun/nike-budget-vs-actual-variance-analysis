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ENOVO\Documents\"/>
    </mc:Choice>
  </mc:AlternateContent>
  <xr:revisionPtr revIDLastSave="0" documentId="13_ncr:1_{B2F68384-384E-4FB6-B3A4-415C5C8CEF0E}" xr6:coauthVersionLast="47" xr6:coauthVersionMax="47" xr10:uidLastSave="{00000000-0000-0000-0000-000000000000}"/>
  <bookViews>
    <workbookView xWindow="-110" yWindow="-110" windowWidth="19420" windowHeight="10420" activeTab="3" xr2:uid="{55388C7E-6ECB-4D4F-BBF7-75AAF9A6D8AC}"/>
  </bookViews>
  <sheets>
    <sheet name="Introduction" sheetId="1" r:id="rId1"/>
    <sheet name="Assumptions" sheetId="2" r:id="rId2"/>
    <sheet name="Budgeted Figures" sheetId="3" r:id="rId3"/>
    <sheet name="Actual Vs Budgeted" sheetId="4" r:id="rId4"/>
    <sheet name="Expalination" sheetId="5" r:id="rId5"/>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3" i="4" l="1"/>
  <c r="F11" i="4"/>
  <c r="F10" i="4"/>
  <c r="F9" i="4"/>
  <c r="F7" i="4"/>
  <c r="F8" i="4"/>
  <c r="F12" i="4"/>
  <c r="F14" i="4"/>
  <c r="F6" i="4"/>
  <c r="E9" i="4"/>
  <c r="E10" i="4"/>
  <c r="E11" i="4"/>
  <c r="E12" i="4"/>
  <c r="E13" i="4"/>
  <c r="E14" i="4"/>
  <c r="E8" i="4"/>
  <c r="E7" i="4"/>
  <c r="E6" i="4"/>
  <c r="D12" i="4"/>
  <c r="D14" i="4" s="1"/>
  <c r="D11" i="4"/>
  <c r="D8" i="4"/>
  <c r="C14" i="4"/>
  <c r="C7" i="4"/>
  <c r="C8" i="4"/>
  <c r="C9" i="4"/>
  <c r="C10" i="4"/>
  <c r="C11" i="4"/>
  <c r="C12" i="4"/>
  <c r="C13" i="4"/>
  <c r="C6" i="4"/>
  <c r="D10" i="3"/>
  <c r="D9" i="3"/>
  <c r="D8" i="3"/>
  <c r="D7" i="3"/>
  <c r="D6" i="3"/>
  <c r="D11" i="3" l="1"/>
  <c r="D12" i="3" s="1"/>
  <c r="D13" i="3" l="1"/>
  <c r="D14" i="3" s="1"/>
</calcChain>
</file>

<file path=xl/sharedStrings.xml><?xml version="1.0" encoding="utf-8"?>
<sst xmlns="http://schemas.openxmlformats.org/spreadsheetml/2006/main" count="49" uniqueCount="28">
  <si>
    <t>Assumptions</t>
  </si>
  <si>
    <t>Budgeted Figures</t>
  </si>
  <si>
    <t>Line Item</t>
  </si>
  <si>
    <t>Revenues</t>
  </si>
  <si>
    <t>Cost of Sales</t>
  </si>
  <si>
    <t>Gross Profit</t>
  </si>
  <si>
    <t>Demand Creation Expense</t>
  </si>
  <si>
    <t>Operating Overhead Expense</t>
  </si>
  <si>
    <t>Total SG&amp;A</t>
  </si>
  <si>
    <t>Income Before Tax</t>
  </si>
  <si>
    <t>Income Tax Expense</t>
  </si>
  <si>
    <t>Net Income</t>
  </si>
  <si>
    <t>FY 2025 Budgeted</t>
  </si>
  <si>
    <t>Items</t>
  </si>
  <si>
    <t>Growth Rate</t>
  </si>
  <si>
    <t>Demand Creation</t>
  </si>
  <si>
    <t>(marketing, endorsements, advertising.)</t>
  </si>
  <si>
    <t>Tax rate</t>
  </si>
  <si>
    <t>FY2024 Actual</t>
  </si>
  <si>
    <t>Actual Vs Budgeted</t>
  </si>
  <si>
    <t>FY 2025 Actual</t>
  </si>
  <si>
    <t>Variance</t>
  </si>
  <si>
    <t>Variance %</t>
  </si>
  <si>
    <t>U/F</t>
  </si>
  <si>
    <t>U</t>
  </si>
  <si>
    <t>F</t>
  </si>
  <si>
    <t>Expalination for Variances</t>
  </si>
  <si>
    <t>Introduction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</si>
</sst>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sz val="11"/>
      <color theme="0"/>
      <name val="Calibri"/>
      <family val="2"/>
      <scheme val="minor"/>
    </font>
    <font>
      <sz val="18"/>
      <color theme="0"/>
      <name val="Calibri"/>
      <family val="2"/>
      <scheme val="minor"/>
    </font>
    <font>
      <b/>
      <i/>
      <sz val="11"/>
      <color theme="1"/>
      <name val="Calibri"/>
      <family val="2"/>
      <scheme val="minor"/>
    </font>
    <font>
      <b/>
      <sz val="12"/>
      <color theme="1"/>
      <name val="Calibri"/>
      <family val="2"/>
      <scheme val="minor"/>
    </font>
    <font>
      <i/>
      <sz val="11"/>
      <color theme="1"/>
      <name val="Calibri"/>
      <family val="2"/>
      <scheme val="minor"/>
    </font>
    <font>
      <i/>
      <sz val="12"/>
      <color theme="1"/>
      <name val="Calibri"/>
      <family val="2"/>
      <scheme val="minor"/>
    </font>
    <font>
      <sz val="12"/>
      <color theme="1"/>
      <name val="Calibri"/>
      <family val="2"/>
      <scheme val="minor"/>
    </font>
    <font>
      <b/>
      <i/>
      <sz val="12"/>
      <color theme="1"/>
      <name val="Calibri"/>
      <family val="2"/>
      <scheme val="minor"/>
    </font>
  </fonts>
  <fills count="4">
    <fill>
      <patternFill patternType="none"/>
    </fill>
    <fill>
      <patternFill patternType="gray125"/>
    </fill>
    <fill>
      <patternFill patternType="solid">
        <fgColor theme="4" tint="-0.499984740745262"/>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31">
    <xf numFmtId="0" fontId="0" fillId="0" borderId="0" xfId="0"/>
    <xf numFmtId="0" fontId="2" fillId="2" borderId="0" xfId="0" applyFont="1" applyFill="1"/>
    <xf numFmtId="0" fontId="0" fillId="0" borderId="0" xfId="0" applyAlignment="1">
      <alignment vertical="center" wrapText="1"/>
    </xf>
    <xf numFmtId="3" fontId="0" fillId="0" borderId="0" xfId="0" applyNumberFormat="1" applyAlignment="1">
      <alignment horizontal="right" vertical="center" wrapText="1"/>
    </xf>
    <xf numFmtId="0" fontId="5" fillId="0" borderId="0" xfId="0" applyFont="1"/>
    <xf numFmtId="0" fontId="1" fillId="0" borderId="0" xfId="0" applyFont="1"/>
    <xf numFmtId="9" fontId="0" fillId="0" borderId="0" xfId="0" applyNumberFormat="1"/>
    <xf numFmtId="0" fontId="0" fillId="0" borderId="0" xfId="0" applyAlignment="1">
      <alignment horizontal="left" wrapText="1"/>
    </xf>
    <xf numFmtId="0" fontId="0" fillId="0" borderId="0" xfId="0" applyAlignment="1">
      <alignment horizontal="left" vertical="center"/>
    </xf>
    <xf numFmtId="0" fontId="0" fillId="0" borderId="0" xfId="0" applyAlignment="1">
      <alignment vertical="center"/>
    </xf>
    <xf numFmtId="0" fontId="4" fillId="0" borderId="0" xfId="0" applyFont="1" applyAlignment="1">
      <alignment vertical="center" wrapText="1"/>
    </xf>
    <xf numFmtId="3" fontId="1" fillId="3" borderId="0" xfId="0" applyNumberFormat="1" applyFont="1" applyFill="1" applyAlignment="1">
      <alignment horizontal="right" vertical="center" wrapText="1"/>
    </xf>
    <xf numFmtId="0" fontId="6" fillId="0" borderId="0" xfId="0" applyFont="1" applyAlignment="1">
      <alignment horizontal="center" vertical="center" wrapText="1"/>
    </xf>
    <xf numFmtId="0" fontId="6" fillId="0" borderId="0" xfId="0" applyFont="1" applyAlignment="1">
      <alignment horizontal="right" vertical="center"/>
    </xf>
    <xf numFmtId="0" fontId="0" fillId="2" borderId="0" xfId="0" applyFill="1"/>
    <xf numFmtId="0" fontId="3" fillId="2" borderId="0" xfId="0" applyFont="1" applyFill="1" applyAlignment="1">
      <alignment horizontal="left"/>
    </xf>
    <xf numFmtId="0" fontId="2" fillId="2" borderId="0" xfId="0" applyFont="1" applyFill="1" applyAlignment="1">
      <alignment horizontal="left"/>
    </xf>
    <xf numFmtId="0" fontId="6" fillId="0" borderId="0" xfId="0" applyFont="1" applyAlignment="1">
      <alignment horizontal="center"/>
    </xf>
    <xf numFmtId="0" fontId="0" fillId="0" borderId="0" xfId="0" applyAlignment="1">
      <alignment horizontal="center"/>
    </xf>
    <xf numFmtId="0" fontId="7" fillId="0" borderId="0" xfId="0" applyFont="1" applyAlignment="1">
      <alignment horizontal="center" vertical="center" wrapText="1"/>
    </xf>
    <xf numFmtId="0" fontId="8" fillId="0" borderId="0" xfId="0" applyFont="1"/>
    <xf numFmtId="0" fontId="7" fillId="0" borderId="0" xfId="0" applyFont="1" applyAlignment="1">
      <alignment horizontal="right" vertical="center"/>
    </xf>
    <xf numFmtId="0" fontId="7" fillId="0" borderId="0" xfId="0" applyFont="1" applyAlignment="1">
      <alignment horizontal="right"/>
    </xf>
    <xf numFmtId="0" fontId="8" fillId="0" borderId="0" xfId="0" applyFont="1" applyAlignment="1">
      <alignment horizontal="center"/>
    </xf>
    <xf numFmtId="0" fontId="8" fillId="0" borderId="0" xfId="0" applyFont="1" applyAlignment="1">
      <alignment vertical="center"/>
    </xf>
    <xf numFmtId="3" fontId="8" fillId="0" borderId="0" xfId="0" applyNumberFormat="1" applyFont="1"/>
    <xf numFmtId="10" fontId="8" fillId="0" borderId="0" xfId="0" applyNumberFormat="1" applyFont="1"/>
    <xf numFmtId="0" fontId="9" fillId="0" borderId="0" xfId="0" applyFont="1" applyAlignment="1">
      <alignment vertical="center"/>
    </xf>
    <xf numFmtId="3" fontId="5" fillId="3" borderId="0" xfId="0" applyNumberFormat="1" applyFont="1" applyFill="1"/>
    <xf numFmtId="0" fontId="8" fillId="0" borderId="0" xfId="0" applyFont="1" applyAlignment="1">
      <alignment horizontal="left" vertical="center"/>
    </xf>
    <xf numFmtId="0" fontId="0" fillId="2" borderId="0" xfId="0"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19050</xdr:colOff>
      <xdr:row>3</xdr:row>
      <xdr:rowOff>6350</xdr:rowOff>
    </xdr:from>
    <xdr:to>
      <xdr:col>19</xdr:col>
      <xdr:colOff>6350</xdr:colOff>
      <xdr:row>23</xdr:row>
      <xdr:rowOff>12700</xdr:rowOff>
    </xdr:to>
    <xdr:sp macro="" textlink="">
      <xdr:nvSpPr>
        <xdr:cNvPr id="2" name="TextBox 1">
          <a:extLst>
            <a:ext uri="{FF2B5EF4-FFF2-40B4-BE49-F238E27FC236}">
              <a16:creationId xmlns:a16="http://schemas.microsoft.com/office/drawing/2014/main" id="{F902DF6F-5169-2FEC-4EB9-D3CA842765C6}"/>
            </a:ext>
          </a:extLst>
        </xdr:cNvPr>
        <xdr:cNvSpPr txBox="1"/>
      </xdr:nvSpPr>
      <xdr:spPr>
        <a:xfrm>
          <a:off x="19050" y="558800"/>
          <a:ext cx="11569700" cy="3689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Introduction</a:t>
          </a:r>
        </a:p>
        <a:p>
          <a:r>
            <a:rPr lang="en-US" sz="1200"/>
            <a:t>This project presents a Budget vs. Actual Financial Performance Analysis for Nike, Inc. using publicly available information from the company's FY2024 and FY2025 Form 10-K filings. The objective is to develop a realistic budgeting model by using FY2024 actual results as the baseline and applying growth assumptions derived from management's discussion, strategic initiatives, and future business outlook disclosed in the FY2024 Annual Report.</a:t>
          </a:r>
        </a:p>
        <a:p>
          <a:endParaRPr lang="en-US" sz="1200"/>
        </a:p>
        <a:p>
          <a:r>
            <a:rPr lang="en-US" sz="1200"/>
            <a:t>The resulting FY2025 budget was then compared against Nike's actual FY2025 financial performance to identify key variances and evaluate how actual results differed from management expectations. The analysis focuses on major income statement line items, including revenue, cost of sales, operating expenses, profit before tax, and net income.</a:t>
          </a:r>
        </a:p>
        <a:p>
          <a:r>
            <a:rPr lang="en-US" sz="1200"/>
            <a:t>This exercise demonstrates the budgeting, forecasting, and variance analysis techniques commonly used by Financial Planning &amp; Analysis (FP&amp;A) teams to assess business performance and support management decision-making.</a:t>
          </a:r>
        </a:p>
        <a:p>
          <a:endParaRPr lang="en-US" sz="1200"/>
        </a:p>
        <a:p>
          <a:r>
            <a:rPr lang="en-US" sz="1200">
              <a:solidFill>
                <a:schemeClr val="dk1"/>
              </a:solidFill>
              <a:effectLst/>
              <a:latin typeface="+mn-lt"/>
              <a:ea typeface="+mn-ea"/>
              <a:cs typeface="+mn-cs"/>
            </a:rPr>
            <a:t>Prepared By: Anmol Arjun Panwar</a:t>
          </a:r>
          <a:endParaRPr lang="en-US" sz="1200">
            <a:effectLst/>
          </a:endParaRPr>
        </a:p>
        <a:p>
          <a:r>
            <a:rPr lang="en-US" sz="1200">
              <a:solidFill>
                <a:schemeClr val="dk1"/>
              </a:solidFill>
              <a:effectLst/>
              <a:latin typeface="+mn-lt"/>
              <a:ea typeface="+mn-ea"/>
              <a:cs typeface="+mn-cs"/>
            </a:rPr>
            <a:t>Date: 20/6/2026</a:t>
          </a:r>
          <a:endParaRPr lang="en-US" sz="1200">
            <a:effectLst/>
          </a:endParaRPr>
        </a:p>
        <a:p>
          <a:endParaRPr lang="en-US"/>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3</xdr:row>
      <xdr:rowOff>12700</xdr:rowOff>
    </xdr:from>
    <xdr:to>
      <xdr:col>16</xdr:col>
      <xdr:colOff>6350</xdr:colOff>
      <xdr:row>9</xdr:row>
      <xdr:rowOff>6350</xdr:rowOff>
    </xdr:to>
    <xdr:sp macro="" textlink="">
      <xdr:nvSpPr>
        <xdr:cNvPr id="2" name="TextBox 1">
          <a:extLst>
            <a:ext uri="{FF2B5EF4-FFF2-40B4-BE49-F238E27FC236}">
              <a16:creationId xmlns:a16="http://schemas.microsoft.com/office/drawing/2014/main" id="{9890AE3A-406B-CAA1-87C4-78AD084D2C09}"/>
            </a:ext>
          </a:extLst>
        </xdr:cNvPr>
        <xdr:cNvSpPr txBox="1"/>
      </xdr:nvSpPr>
      <xdr:spPr>
        <a:xfrm>
          <a:off x="19050" y="565150"/>
          <a:ext cx="11087100" cy="1098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Budget Assumptions</a:t>
          </a:r>
          <a:endParaRPr lang="en-US" sz="1200"/>
        </a:p>
        <a:p>
          <a:r>
            <a:rPr lang="en-US" sz="1200"/>
            <a:t>FY2025 budget figures are based on FY2024 actual results reported in Nike's Form 10-K and management's discussion of business performance, strategic initiatives, cost-saving programs, and future outlook. Growth rates for revenues and expenses were estimated using a conservative forecasting approach where explicit guidance was not available.</a:t>
          </a:r>
        </a:p>
        <a:p>
          <a:r>
            <a:rPr lang="en-US" sz="1200"/>
            <a:t>These assumptions are intended for analytical purposes only and do not represent official company forecasts. Actual results may vary due to changes in market conditions, consumer demand, competitive factors, and other business risks.</a:t>
          </a: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3</xdr:row>
      <xdr:rowOff>1</xdr:rowOff>
    </xdr:from>
    <xdr:to>
      <xdr:col>18</xdr:col>
      <xdr:colOff>596194</xdr:colOff>
      <xdr:row>20</xdr:row>
      <xdr:rowOff>162278</xdr:rowOff>
    </xdr:to>
    <xdr:sp macro="" textlink="">
      <xdr:nvSpPr>
        <xdr:cNvPr id="2" name="TextBox 1">
          <a:extLst>
            <a:ext uri="{FF2B5EF4-FFF2-40B4-BE49-F238E27FC236}">
              <a16:creationId xmlns:a16="http://schemas.microsoft.com/office/drawing/2014/main" id="{8E86D2CF-6218-439A-A092-E13D2CCE86A7}"/>
            </a:ext>
          </a:extLst>
        </xdr:cNvPr>
        <xdr:cNvSpPr txBox="1"/>
      </xdr:nvSpPr>
      <xdr:spPr>
        <a:xfrm>
          <a:off x="0" y="550334"/>
          <a:ext cx="11518194" cy="32808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a:t>Revenue </a:t>
          </a:r>
          <a:r>
            <a:rPr lang="en-US" sz="1200"/>
            <a:t>Lower consumer demand, reduced NIKE Direct traffic, and increased discounts resulted in revenue below budget</a:t>
          </a:r>
          <a:r>
            <a:rPr lang="en-US"/>
            <a:t>.</a:t>
          </a:r>
        </a:p>
        <a:p>
          <a:pPr marL="0" marR="0" lvl="0" indent="0" defTabSz="914400" eaLnBrk="1" fontAlgn="auto" latinLnBrk="0" hangingPunct="1">
            <a:lnSpc>
              <a:spcPct val="100000"/>
            </a:lnSpc>
            <a:spcBef>
              <a:spcPts val="0"/>
            </a:spcBef>
            <a:spcAft>
              <a:spcPts val="0"/>
            </a:spcAft>
            <a:buClrTx/>
            <a:buSzTx/>
            <a:buFontTx/>
            <a:buNone/>
            <a:tabLst/>
            <a:defRPr/>
          </a:pPr>
          <a:endParaRPr lang="en-US" b="1"/>
        </a:p>
        <a:p>
          <a:pPr marL="0" marR="0" lvl="0" indent="0" defTabSz="914400" eaLnBrk="1" fontAlgn="auto" latinLnBrk="0" hangingPunct="1">
            <a:lnSpc>
              <a:spcPct val="100000"/>
            </a:lnSpc>
            <a:spcBef>
              <a:spcPts val="0"/>
            </a:spcBef>
            <a:spcAft>
              <a:spcPts val="0"/>
            </a:spcAft>
            <a:buClrTx/>
            <a:buSzTx/>
            <a:buFontTx/>
            <a:buNone/>
            <a:tabLst/>
            <a:defRPr/>
          </a:pPr>
          <a:r>
            <a:rPr lang="en-US" sz="1200" b="1"/>
            <a:t>Cost of Sales </a:t>
          </a:r>
          <a:r>
            <a:rPr lang="en-US" sz="1200"/>
            <a:t>Lower product costs helped reduce cost of sales below budget</a:t>
          </a:r>
          <a:r>
            <a:rPr lang="en-US"/>
            <a:t>.</a:t>
          </a:r>
        </a:p>
        <a:p>
          <a:pPr marL="0" marR="0" lvl="0" indent="0" defTabSz="914400" eaLnBrk="1" fontAlgn="auto" latinLnBrk="0" hangingPunct="1">
            <a:lnSpc>
              <a:spcPct val="100000"/>
            </a:lnSpc>
            <a:spcBef>
              <a:spcPts val="0"/>
            </a:spcBef>
            <a:spcAft>
              <a:spcPts val="0"/>
            </a:spcAft>
            <a:buClrTx/>
            <a:buSzTx/>
            <a:buFontTx/>
            <a:buNone/>
            <a:tabLst/>
            <a:defRPr/>
          </a:pPr>
          <a:endParaRPr lang="en-US" b="1"/>
        </a:p>
        <a:p>
          <a:pPr marL="0" marR="0" lvl="0" indent="0" defTabSz="914400" eaLnBrk="1" fontAlgn="auto" latinLnBrk="0" hangingPunct="1">
            <a:lnSpc>
              <a:spcPct val="100000"/>
            </a:lnSpc>
            <a:spcBef>
              <a:spcPts val="0"/>
            </a:spcBef>
            <a:spcAft>
              <a:spcPts val="0"/>
            </a:spcAft>
            <a:buClrTx/>
            <a:buSzTx/>
            <a:buFontTx/>
            <a:buNone/>
            <a:tabLst/>
            <a:defRPr/>
          </a:pPr>
          <a:r>
            <a:rPr lang="en-US" sz="1200" b="1"/>
            <a:t>Gross Profit </a:t>
          </a:r>
          <a:r>
            <a:rPr lang="en-US" sz="1200"/>
            <a:t>Lower revenue and gross margin compression from higher discounts reduced gross profit.</a:t>
          </a:r>
        </a:p>
        <a:p>
          <a:pPr marL="0" marR="0" lvl="0" indent="0" defTabSz="914400" eaLnBrk="1" fontAlgn="auto" latinLnBrk="0" hangingPunct="1">
            <a:lnSpc>
              <a:spcPct val="100000"/>
            </a:lnSpc>
            <a:spcBef>
              <a:spcPts val="0"/>
            </a:spcBef>
            <a:spcAft>
              <a:spcPts val="0"/>
            </a:spcAft>
            <a:buClrTx/>
            <a:buSzTx/>
            <a:buFontTx/>
            <a:buNone/>
            <a:tabLst/>
            <a:defRPr/>
          </a:pPr>
          <a:endParaRPr lang="en-US" b="1"/>
        </a:p>
        <a:p>
          <a:pPr marL="0" marR="0" lvl="0" indent="0" defTabSz="914400" eaLnBrk="1" fontAlgn="auto" latinLnBrk="0" hangingPunct="1">
            <a:lnSpc>
              <a:spcPct val="100000"/>
            </a:lnSpc>
            <a:spcBef>
              <a:spcPts val="0"/>
            </a:spcBef>
            <a:spcAft>
              <a:spcPts val="0"/>
            </a:spcAft>
            <a:buClrTx/>
            <a:buSzTx/>
            <a:buFontTx/>
            <a:buNone/>
            <a:tabLst/>
            <a:defRPr/>
          </a:pPr>
          <a:r>
            <a:rPr lang="en-US" sz="1200" b="1"/>
            <a:t>Demand Creation Expense </a:t>
          </a:r>
          <a:r>
            <a:rPr lang="en-US" sz="1200"/>
            <a:t>Higher brand and sports marketing investments increased spending above budget.</a:t>
          </a:r>
        </a:p>
        <a:p>
          <a:pPr marL="0" marR="0" lvl="0" indent="0" defTabSz="914400" eaLnBrk="1" fontAlgn="auto" latinLnBrk="0" hangingPunct="1">
            <a:lnSpc>
              <a:spcPct val="100000"/>
            </a:lnSpc>
            <a:spcBef>
              <a:spcPts val="0"/>
            </a:spcBef>
            <a:spcAft>
              <a:spcPts val="0"/>
            </a:spcAft>
            <a:buClrTx/>
            <a:buSzTx/>
            <a:buFontTx/>
            <a:buNone/>
            <a:tabLst/>
            <a:defRPr/>
          </a:pPr>
          <a:endParaRPr lang="en-US" b="1"/>
        </a:p>
        <a:p>
          <a:pPr marL="0" marR="0" lvl="0" indent="0" defTabSz="914400" eaLnBrk="1" fontAlgn="auto" latinLnBrk="0" hangingPunct="1">
            <a:lnSpc>
              <a:spcPct val="100000"/>
            </a:lnSpc>
            <a:spcBef>
              <a:spcPts val="0"/>
            </a:spcBef>
            <a:spcAft>
              <a:spcPts val="0"/>
            </a:spcAft>
            <a:buClrTx/>
            <a:buSzTx/>
            <a:buFontTx/>
            <a:buNone/>
            <a:tabLst/>
            <a:defRPr/>
          </a:pPr>
          <a:r>
            <a:rPr lang="en-US" sz="1200" b="1"/>
            <a:t>Operating Overhead Expense </a:t>
          </a:r>
          <a:r>
            <a:rPr lang="en-US" sz="1200"/>
            <a:t>Lower wage-related and administrative costs drove favorable variance</a:t>
          </a:r>
          <a:r>
            <a:rPr lang="en-US"/>
            <a:t>.</a:t>
          </a:r>
        </a:p>
        <a:p>
          <a:pPr marL="0" marR="0" lvl="0" indent="0" defTabSz="914400" eaLnBrk="1" fontAlgn="auto" latinLnBrk="0" hangingPunct="1">
            <a:lnSpc>
              <a:spcPct val="100000"/>
            </a:lnSpc>
            <a:spcBef>
              <a:spcPts val="0"/>
            </a:spcBef>
            <a:spcAft>
              <a:spcPts val="0"/>
            </a:spcAft>
            <a:buClrTx/>
            <a:buSzTx/>
            <a:buFontTx/>
            <a:buNone/>
            <a:tabLst/>
            <a:defRPr/>
          </a:pPr>
          <a:endParaRPr lang="en-US" b="1"/>
        </a:p>
        <a:p>
          <a:pPr marL="0" marR="0" lvl="0" indent="0" defTabSz="914400" eaLnBrk="1" fontAlgn="auto" latinLnBrk="0" hangingPunct="1">
            <a:lnSpc>
              <a:spcPct val="100000"/>
            </a:lnSpc>
            <a:spcBef>
              <a:spcPts val="0"/>
            </a:spcBef>
            <a:spcAft>
              <a:spcPts val="0"/>
            </a:spcAft>
            <a:buClrTx/>
            <a:buSzTx/>
            <a:buFontTx/>
            <a:buNone/>
            <a:tabLst/>
            <a:defRPr/>
          </a:pPr>
          <a:r>
            <a:rPr lang="en-US" sz="1200" b="1"/>
            <a:t>Total SG&amp;A </a:t>
          </a:r>
          <a:r>
            <a:rPr lang="en-US" sz="1200"/>
            <a:t>Savings in overhead more than offset higher marketing expenses.</a:t>
          </a:r>
        </a:p>
        <a:p>
          <a:pPr marL="0" marR="0" lvl="0" indent="0" defTabSz="914400" eaLnBrk="1" fontAlgn="auto" latinLnBrk="0" hangingPunct="1">
            <a:lnSpc>
              <a:spcPct val="100000"/>
            </a:lnSpc>
            <a:spcBef>
              <a:spcPts val="0"/>
            </a:spcBef>
            <a:spcAft>
              <a:spcPts val="0"/>
            </a:spcAft>
            <a:buClrTx/>
            <a:buSzTx/>
            <a:buFontTx/>
            <a:buNone/>
            <a:tabLst/>
            <a:defRPr/>
          </a:pPr>
          <a:endParaRPr lang="en-US" b="1"/>
        </a:p>
        <a:p>
          <a:pPr marL="0" marR="0" lvl="0" indent="0" defTabSz="914400" eaLnBrk="1" fontAlgn="auto" latinLnBrk="0" hangingPunct="1">
            <a:lnSpc>
              <a:spcPct val="100000"/>
            </a:lnSpc>
            <a:spcBef>
              <a:spcPts val="0"/>
            </a:spcBef>
            <a:spcAft>
              <a:spcPts val="0"/>
            </a:spcAft>
            <a:buClrTx/>
            <a:buSzTx/>
            <a:buFontTx/>
            <a:buNone/>
            <a:tabLst/>
            <a:defRPr/>
          </a:pPr>
          <a:r>
            <a:rPr lang="en-US" sz="1200" b="1"/>
            <a:t>Income Before Tax </a:t>
          </a:r>
          <a:r>
            <a:rPr lang="en-US" sz="1200"/>
            <a:t>Lower revenue and gross profit significantly reduced earnings</a:t>
          </a:r>
          <a:r>
            <a:rPr lang="en-US"/>
            <a:t>.</a:t>
          </a:r>
        </a:p>
        <a:p>
          <a:pPr marL="0" marR="0" lvl="0" indent="0" defTabSz="914400" eaLnBrk="1" fontAlgn="auto" latinLnBrk="0" hangingPunct="1">
            <a:lnSpc>
              <a:spcPct val="100000"/>
            </a:lnSpc>
            <a:spcBef>
              <a:spcPts val="0"/>
            </a:spcBef>
            <a:spcAft>
              <a:spcPts val="0"/>
            </a:spcAft>
            <a:buClrTx/>
            <a:buSzTx/>
            <a:buFontTx/>
            <a:buNone/>
            <a:tabLst/>
            <a:defRPr/>
          </a:pPr>
          <a:endParaRPr lang="en-US" b="1"/>
        </a:p>
        <a:p>
          <a:pPr marL="0" marR="0" lvl="0" indent="0" defTabSz="914400" eaLnBrk="1" fontAlgn="auto" latinLnBrk="0" hangingPunct="1">
            <a:lnSpc>
              <a:spcPct val="100000"/>
            </a:lnSpc>
            <a:spcBef>
              <a:spcPts val="0"/>
            </a:spcBef>
            <a:spcAft>
              <a:spcPts val="0"/>
            </a:spcAft>
            <a:buClrTx/>
            <a:buSzTx/>
            <a:buFontTx/>
            <a:buNone/>
            <a:tabLst/>
            <a:defRPr/>
          </a:pPr>
          <a:r>
            <a:rPr lang="en-US" sz="1200" b="1"/>
            <a:t>Income Tax Expense </a:t>
          </a:r>
          <a:r>
            <a:rPr lang="en-US" sz="1200"/>
            <a:t>Lower pre-tax income resulted in lower tax expense</a:t>
          </a:r>
          <a:r>
            <a:rPr lang="en-US"/>
            <a:t>.</a:t>
          </a:r>
        </a:p>
        <a:p>
          <a:pPr marL="0" marR="0" lvl="0" indent="0" defTabSz="914400" eaLnBrk="1" fontAlgn="auto" latinLnBrk="0" hangingPunct="1">
            <a:lnSpc>
              <a:spcPct val="100000"/>
            </a:lnSpc>
            <a:spcBef>
              <a:spcPts val="0"/>
            </a:spcBef>
            <a:spcAft>
              <a:spcPts val="0"/>
            </a:spcAft>
            <a:buClrTx/>
            <a:buSzTx/>
            <a:buFontTx/>
            <a:buNone/>
            <a:tabLst/>
            <a:defRPr/>
          </a:pPr>
          <a:endParaRPr lang="en-US" b="1"/>
        </a:p>
        <a:p>
          <a:pPr marL="0" marR="0" lvl="0" indent="0" defTabSz="914400" eaLnBrk="1" fontAlgn="auto" latinLnBrk="0" hangingPunct="1">
            <a:lnSpc>
              <a:spcPct val="100000"/>
            </a:lnSpc>
            <a:spcBef>
              <a:spcPts val="0"/>
            </a:spcBef>
            <a:spcAft>
              <a:spcPts val="0"/>
            </a:spcAft>
            <a:buClrTx/>
            <a:buSzTx/>
            <a:buFontTx/>
            <a:buNone/>
            <a:tabLst/>
            <a:defRPr/>
          </a:pPr>
          <a:r>
            <a:rPr lang="en-US" sz="1200" b="1"/>
            <a:t>Net Income </a:t>
          </a:r>
          <a:r>
            <a:rPr lang="en-US" sz="1200"/>
            <a:t>Lower sales and margins outweighed operating cost savings.</a:t>
          </a: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B7D5B-59A3-4ACF-AE9B-D4ADF7858EC5}">
  <dimension ref="A1:I3"/>
  <sheetViews>
    <sheetView workbookViewId="0">
      <selection activeCell="T6" sqref="T6"/>
    </sheetView>
  </sheetViews>
  <sheetFormatPr defaultRowHeight="14.5" x14ac:dyDescent="0.35"/>
  <sheetData>
    <row r="1" spans="1:9" s="14" customFormat="1" x14ac:dyDescent="0.35">
      <c r="A1" s="15" t="s">
        <v>27</v>
      </c>
      <c r="B1" s="30"/>
      <c r="C1" s="30"/>
      <c r="D1" s="30"/>
      <c r="E1" s="30"/>
      <c r="F1" s="30"/>
      <c r="G1" s="30"/>
      <c r="H1" s="30"/>
      <c r="I1" s="30"/>
    </row>
    <row r="2" spans="1:9" s="14" customFormat="1" x14ac:dyDescent="0.35">
      <c r="A2" s="30"/>
      <c r="B2" s="30"/>
      <c r="C2" s="30"/>
      <c r="D2" s="30"/>
      <c r="E2" s="30"/>
      <c r="F2" s="30"/>
      <c r="G2" s="30"/>
      <c r="H2" s="30"/>
      <c r="I2" s="30"/>
    </row>
    <row r="3" spans="1:9" s="14" customFormat="1" x14ac:dyDescent="0.35">
      <c r="A3" s="30"/>
      <c r="B3" s="30"/>
      <c r="C3" s="30"/>
      <c r="D3" s="30"/>
      <c r="E3" s="30"/>
      <c r="F3" s="30"/>
      <c r="G3" s="30"/>
      <c r="H3" s="30"/>
      <c r="I3" s="30"/>
    </row>
  </sheetData>
  <mergeCells count="1">
    <mergeCell ref="A1:I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AB7B5-0E15-497A-AC81-ADF238E37BAC}">
  <dimension ref="A1:I17"/>
  <sheetViews>
    <sheetView workbookViewId="0">
      <selection activeCell="L17" sqref="L17"/>
    </sheetView>
  </sheetViews>
  <sheetFormatPr defaultRowHeight="14.5" x14ac:dyDescent="0.35"/>
  <cols>
    <col min="1" max="1" width="25.453125" bestFit="1" customWidth="1"/>
    <col min="3" max="3" width="11.26953125" bestFit="1" customWidth="1"/>
  </cols>
  <sheetData>
    <row r="1" spans="1:9" s="1" customFormat="1" x14ac:dyDescent="0.35">
      <c r="A1" s="15" t="s">
        <v>0</v>
      </c>
      <c r="B1" s="16"/>
      <c r="C1" s="16"/>
      <c r="D1" s="16"/>
      <c r="E1" s="16"/>
      <c r="F1" s="16"/>
      <c r="G1" s="16"/>
      <c r="H1" s="16"/>
      <c r="I1" s="16"/>
    </row>
    <row r="2" spans="1:9" s="1" customFormat="1" x14ac:dyDescent="0.35">
      <c r="A2" s="16"/>
      <c r="B2" s="16"/>
      <c r="C2" s="16"/>
      <c r="D2" s="16"/>
      <c r="E2" s="16"/>
      <c r="F2" s="16"/>
      <c r="G2" s="16"/>
      <c r="H2" s="16"/>
      <c r="I2" s="16"/>
    </row>
    <row r="3" spans="1:9" s="1" customFormat="1" x14ac:dyDescent="0.35">
      <c r="A3" s="16"/>
      <c r="B3" s="16"/>
      <c r="C3" s="16"/>
      <c r="D3" s="16"/>
      <c r="E3" s="16"/>
      <c r="F3" s="16"/>
      <c r="G3" s="16"/>
      <c r="H3" s="16"/>
      <c r="I3" s="16"/>
    </row>
    <row r="11" spans="1:9" ht="15.5" x14ac:dyDescent="0.35">
      <c r="A11" s="4" t="s">
        <v>13</v>
      </c>
      <c r="C11" s="5" t="s">
        <v>14</v>
      </c>
    </row>
    <row r="13" spans="1:9" ht="14.5" customHeight="1" x14ac:dyDescent="0.35">
      <c r="A13" s="7" t="s">
        <v>3</v>
      </c>
      <c r="C13" s="6">
        <v>0.03</v>
      </c>
    </row>
    <row r="14" spans="1:9" x14ac:dyDescent="0.35">
      <c r="A14" s="2" t="s">
        <v>4</v>
      </c>
      <c r="C14" s="6">
        <v>0.02</v>
      </c>
    </row>
    <row r="15" spans="1:9" x14ac:dyDescent="0.35">
      <c r="A15" t="s">
        <v>15</v>
      </c>
      <c r="C15" s="6">
        <v>0.05</v>
      </c>
      <c r="D15" s="17" t="s">
        <v>16</v>
      </c>
      <c r="E15" s="18"/>
      <c r="F15" s="18"/>
      <c r="G15" s="18"/>
    </row>
    <row r="16" spans="1:9" x14ac:dyDescent="0.35">
      <c r="A16" s="8" t="s">
        <v>7</v>
      </c>
      <c r="C16" s="6">
        <v>0.01</v>
      </c>
    </row>
    <row r="17" spans="1:3" x14ac:dyDescent="0.35">
      <c r="A17" t="s">
        <v>17</v>
      </c>
      <c r="B17" s="6"/>
      <c r="C17" s="6">
        <v>0.15</v>
      </c>
    </row>
  </sheetData>
  <mergeCells count="2">
    <mergeCell ref="A1:I3"/>
    <mergeCell ref="D15:G1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5999E-1186-4113-AB1D-6AC88FB36EB2}">
  <dimension ref="A1:I14"/>
  <sheetViews>
    <sheetView zoomScaleNormal="100" workbookViewId="0">
      <selection activeCell="F7" sqref="F7"/>
    </sheetView>
  </sheetViews>
  <sheetFormatPr defaultRowHeight="14.5" x14ac:dyDescent="0.35"/>
  <cols>
    <col min="1" max="1" width="25.453125" bestFit="1" customWidth="1"/>
    <col min="2" max="2" width="9.90625" customWidth="1"/>
    <col min="3" max="3" width="12.453125" bestFit="1" customWidth="1"/>
    <col min="4" max="4" width="15.7265625" bestFit="1" customWidth="1"/>
  </cols>
  <sheetData>
    <row r="1" spans="1:9" s="1" customFormat="1" x14ac:dyDescent="0.35">
      <c r="A1" s="15" t="s">
        <v>1</v>
      </c>
      <c r="B1" s="16"/>
      <c r="C1" s="16"/>
      <c r="D1" s="16"/>
      <c r="E1" s="16"/>
      <c r="F1" s="16"/>
      <c r="G1" s="16"/>
      <c r="H1" s="16"/>
      <c r="I1" s="16"/>
    </row>
    <row r="2" spans="1:9" s="1" customFormat="1" x14ac:dyDescent="0.35">
      <c r="A2" s="16"/>
      <c r="B2" s="16"/>
      <c r="C2" s="16"/>
      <c r="D2" s="16"/>
      <c r="E2" s="16"/>
      <c r="F2" s="16"/>
      <c r="G2" s="16"/>
      <c r="H2" s="16"/>
      <c r="I2" s="16"/>
    </row>
    <row r="3" spans="1:9" s="1" customFormat="1" x14ac:dyDescent="0.35">
      <c r="A3" s="16"/>
      <c r="B3" s="16"/>
      <c r="C3" s="16"/>
      <c r="D3" s="16"/>
      <c r="E3" s="16"/>
      <c r="F3" s="16"/>
      <c r="G3" s="16"/>
      <c r="H3" s="16"/>
      <c r="I3" s="16"/>
    </row>
    <row r="5" spans="1:9" x14ac:dyDescent="0.35">
      <c r="A5" s="12" t="s">
        <v>2</v>
      </c>
      <c r="C5" s="13" t="s">
        <v>18</v>
      </c>
      <c r="D5" s="13" t="s">
        <v>12</v>
      </c>
    </row>
    <row r="6" spans="1:9" x14ac:dyDescent="0.35">
      <c r="A6" s="2" t="s">
        <v>3</v>
      </c>
      <c r="C6" s="3">
        <v>51362</v>
      </c>
      <c r="D6" s="3">
        <f>C6*(1+Assumptions!C13)</f>
        <v>52902.86</v>
      </c>
    </row>
    <row r="7" spans="1:9" x14ac:dyDescent="0.35">
      <c r="A7" s="2" t="s">
        <v>4</v>
      </c>
      <c r="C7" s="3">
        <v>28475</v>
      </c>
      <c r="D7" s="3">
        <f>-C7*(1+Assumptions!C14)</f>
        <v>-29044.5</v>
      </c>
    </row>
    <row r="8" spans="1:9" x14ac:dyDescent="0.35">
      <c r="A8" s="10" t="s">
        <v>5</v>
      </c>
      <c r="C8" s="11">
        <v>22887</v>
      </c>
      <c r="D8" s="11">
        <f>D6+D7</f>
        <v>23858.36</v>
      </c>
    </row>
    <row r="9" spans="1:9" x14ac:dyDescent="0.35">
      <c r="A9" s="8" t="s">
        <v>6</v>
      </c>
      <c r="C9" s="3">
        <v>4285</v>
      </c>
      <c r="D9" s="3">
        <f>-C9*(1+Assumptions!C15)</f>
        <v>-4499.25</v>
      </c>
    </row>
    <row r="10" spans="1:9" x14ac:dyDescent="0.35">
      <c r="A10" s="9" t="s">
        <v>7</v>
      </c>
      <c r="C10" s="3">
        <v>12291</v>
      </c>
      <c r="D10" s="3">
        <f>-C10*(1+Assumptions!C16)</f>
        <v>-12413.91</v>
      </c>
    </row>
    <row r="11" spans="1:9" x14ac:dyDescent="0.35">
      <c r="A11" s="2" t="s">
        <v>8</v>
      </c>
      <c r="C11" s="3">
        <v>16576</v>
      </c>
      <c r="D11" s="3">
        <f>D9+D10</f>
        <v>-16913.16</v>
      </c>
    </row>
    <row r="12" spans="1:9" x14ac:dyDescent="0.35">
      <c r="A12" s="10" t="s">
        <v>9</v>
      </c>
      <c r="C12" s="11">
        <v>6700</v>
      </c>
      <c r="D12" s="11">
        <f>D8+D11</f>
        <v>6945.2000000000007</v>
      </c>
    </row>
    <row r="13" spans="1:9" x14ac:dyDescent="0.35">
      <c r="A13" s="2" t="s">
        <v>10</v>
      </c>
      <c r="C13" s="3">
        <v>1000</v>
      </c>
      <c r="D13" s="3">
        <f>-D12*Assumptions!C17</f>
        <v>-1041.78</v>
      </c>
    </row>
    <row r="14" spans="1:9" x14ac:dyDescent="0.35">
      <c r="A14" s="10" t="s">
        <v>11</v>
      </c>
      <c r="C14" s="11">
        <v>5700</v>
      </c>
      <c r="D14" s="11">
        <f>D12+D13</f>
        <v>5903.420000000001</v>
      </c>
    </row>
  </sheetData>
  <mergeCells count="1">
    <mergeCell ref="A1:I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939CF-2882-4DAC-A117-683674E3210A}">
  <dimension ref="A1:G14"/>
  <sheetViews>
    <sheetView tabSelected="1" zoomScaleNormal="100" workbookViewId="0">
      <selection activeCell="I13" sqref="I13"/>
    </sheetView>
  </sheetViews>
  <sheetFormatPr defaultRowHeight="14.5" x14ac:dyDescent="0.35"/>
  <cols>
    <col min="1" max="1" width="28.26953125" bestFit="1" customWidth="1"/>
    <col min="3" max="3" width="18.08984375" bestFit="1" customWidth="1"/>
    <col min="4" max="4" width="16.1796875" bestFit="1" customWidth="1"/>
    <col min="5" max="5" width="9.54296875" bestFit="1" customWidth="1"/>
    <col min="6" max="6" width="11.7265625" bestFit="1" customWidth="1"/>
  </cols>
  <sheetData>
    <row r="1" spans="1:7" s="14" customFormat="1" x14ac:dyDescent="0.35">
      <c r="A1" s="15" t="s">
        <v>19</v>
      </c>
      <c r="B1" s="15"/>
      <c r="C1" s="15"/>
      <c r="D1" s="15"/>
      <c r="E1" s="15"/>
      <c r="F1" s="15"/>
      <c r="G1" s="15"/>
    </row>
    <row r="2" spans="1:7" s="14" customFormat="1" x14ac:dyDescent="0.35">
      <c r="A2" s="15"/>
      <c r="B2" s="15"/>
      <c r="C2" s="15"/>
      <c r="D2" s="15"/>
      <c r="E2" s="15"/>
      <c r="F2" s="15"/>
      <c r="G2" s="15"/>
    </row>
    <row r="3" spans="1:7" s="14" customFormat="1" x14ac:dyDescent="0.35">
      <c r="A3" s="15"/>
      <c r="B3" s="15"/>
      <c r="C3" s="15"/>
      <c r="D3" s="15"/>
      <c r="E3" s="15"/>
      <c r="F3" s="15"/>
      <c r="G3" s="15"/>
    </row>
    <row r="5" spans="1:7" ht="15.5" x14ac:dyDescent="0.35">
      <c r="A5" s="19" t="s">
        <v>2</v>
      </c>
      <c r="B5" s="20"/>
      <c r="C5" s="21" t="s">
        <v>12</v>
      </c>
      <c r="D5" s="21" t="s">
        <v>20</v>
      </c>
      <c r="E5" s="22" t="s">
        <v>21</v>
      </c>
      <c r="F5" s="22" t="s">
        <v>22</v>
      </c>
      <c r="G5" s="23" t="s">
        <v>23</v>
      </c>
    </row>
    <row r="6" spans="1:7" ht="15.5" x14ac:dyDescent="0.35">
      <c r="A6" s="24" t="s">
        <v>3</v>
      </c>
      <c r="B6" s="20"/>
      <c r="C6" s="25">
        <f>'Budgeted Figures'!D6</f>
        <v>52902.86</v>
      </c>
      <c r="D6" s="25">
        <v>46309</v>
      </c>
      <c r="E6" s="25">
        <f>D6-C6</f>
        <v>-6593.8600000000006</v>
      </c>
      <c r="F6" s="26">
        <f>(D6-C6)/C6</f>
        <v>-0.12464089843157819</v>
      </c>
      <c r="G6" s="23" t="s">
        <v>24</v>
      </c>
    </row>
    <row r="7" spans="1:7" ht="15.5" x14ac:dyDescent="0.35">
      <c r="A7" s="24" t="s">
        <v>4</v>
      </c>
      <c r="B7" s="20"/>
      <c r="C7" s="25">
        <f>'Budgeted Figures'!D7</f>
        <v>-29044.5</v>
      </c>
      <c r="D7" s="25">
        <v>-26519</v>
      </c>
      <c r="E7" s="25">
        <f>D7-C7</f>
        <v>2525.5</v>
      </c>
      <c r="F7" s="26">
        <f>-(D7-C7)/C7</f>
        <v>8.6952779355816079E-2</v>
      </c>
      <c r="G7" s="23" t="s">
        <v>25</v>
      </c>
    </row>
    <row r="8" spans="1:7" ht="15.5" x14ac:dyDescent="0.35">
      <c r="A8" s="27" t="s">
        <v>5</v>
      </c>
      <c r="B8" s="20"/>
      <c r="C8" s="28">
        <f>'Budgeted Figures'!D8</f>
        <v>23858.36</v>
      </c>
      <c r="D8" s="28">
        <f>D6+D7</f>
        <v>19790</v>
      </c>
      <c r="E8" s="25">
        <f>D8-C8</f>
        <v>-4068.3600000000006</v>
      </c>
      <c r="F8" s="26">
        <f t="shared" ref="F7:F14" si="0">(D8-C8)/C8</f>
        <v>-0.17052136022760997</v>
      </c>
      <c r="G8" s="23" t="s">
        <v>24</v>
      </c>
    </row>
    <row r="9" spans="1:7" ht="15.5" x14ac:dyDescent="0.35">
      <c r="A9" s="29" t="s">
        <v>6</v>
      </c>
      <c r="B9" s="20"/>
      <c r="C9" s="25">
        <f>'Budgeted Figures'!D9</f>
        <v>-4499.25</v>
      </c>
      <c r="D9" s="25">
        <v>-4689</v>
      </c>
      <c r="E9" s="25">
        <f t="shared" ref="E9:E14" si="1">D9-C9</f>
        <v>-189.75</v>
      </c>
      <c r="F9" s="26">
        <f>-(D9-C9)/C9</f>
        <v>-4.2173695615935987E-2</v>
      </c>
      <c r="G9" s="23" t="s">
        <v>25</v>
      </c>
    </row>
    <row r="10" spans="1:7" ht="15.5" x14ac:dyDescent="0.35">
      <c r="A10" s="24" t="s">
        <v>7</v>
      </c>
      <c r="B10" s="20"/>
      <c r="C10" s="25">
        <f>'Budgeted Figures'!D10</f>
        <v>-12413.91</v>
      </c>
      <c r="D10" s="25">
        <v>-11399</v>
      </c>
      <c r="E10" s="25">
        <f t="shared" si="1"/>
        <v>1014.9099999999999</v>
      </c>
      <c r="F10" s="26">
        <f>-(D10-C10)/C10</f>
        <v>8.1755869021122266E-2</v>
      </c>
      <c r="G10" s="23" t="s">
        <v>25</v>
      </c>
    </row>
    <row r="11" spans="1:7" ht="15.5" x14ac:dyDescent="0.35">
      <c r="A11" s="24" t="s">
        <v>8</v>
      </c>
      <c r="B11" s="20"/>
      <c r="C11" s="25">
        <f>'Budgeted Figures'!D11</f>
        <v>-16913.16</v>
      </c>
      <c r="D11" s="25">
        <f>D9+D10</f>
        <v>-16088</v>
      </c>
      <c r="E11" s="25">
        <f t="shared" si="1"/>
        <v>825.15999999999985</v>
      </c>
      <c r="F11" s="26">
        <f>-(D11-C11)/C11</f>
        <v>4.8788044339437446E-2</v>
      </c>
      <c r="G11" s="23" t="s">
        <v>25</v>
      </c>
    </row>
    <row r="12" spans="1:7" ht="15.5" x14ac:dyDescent="0.35">
      <c r="A12" s="27" t="s">
        <v>9</v>
      </c>
      <c r="B12" s="20"/>
      <c r="C12" s="28">
        <f>'Budgeted Figures'!D12</f>
        <v>6945.2000000000007</v>
      </c>
      <c r="D12" s="28">
        <f>D8+D11+107+76</f>
        <v>3885</v>
      </c>
      <c r="E12" s="25">
        <f t="shared" si="1"/>
        <v>-3060.2000000000007</v>
      </c>
      <c r="F12" s="26">
        <f t="shared" si="0"/>
        <v>-0.44062086045038307</v>
      </c>
      <c r="G12" s="23" t="s">
        <v>24</v>
      </c>
    </row>
    <row r="13" spans="1:7" ht="15.5" x14ac:dyDescent="0.35">
      <c r="A13" s="24" t="s">
        <v>10</v>
      </c>
      <c r="B13" s="20"/>
      <c r="C13" s="25">
        <f>'Budgeted Figures'!D13</f>
        <v>-1041.78</v>
      </c>
      <c r="D13" s="20">
        <v>-666</v>
      </c>
      <c r="E13" s="25">
        <f t="shared" si="1"/>
        <v>375.78</v>
      </c>
      <c r="F13" s="26">
        <f>-(D13-C13)/C13</f>
        <v>0.3607095548004377</v>
      </c>
      <c r="G13" s="23" t="s">
        <v>25</v>
      </c>
    </row>
    <row r="14" spans="1:7" ht="15.5" x14ac:dyDescent="0.35">
      <c r="A14" s="27" t="s">
        <v>11</v>
      </c>
      <c r="B14" s="20"/>
      <c r="C14" s="28">
        <f>'Budgeted Figures'!D14</f>
        <v>5903.420000000001</v>
      </c>
      <c r="D14" s="28">
        <f>D12+D13</f>
        <v>3219</v>
      </c>
      <c r="E14" s="25">
        <f t="shared" si="1"/>
        <v>-2684.420000000001</v>
      </c>
      <c r="F14" s="26">
        <f t="shared" si="0"/>
        <v>-0.4547228555650793</v>
      </c>
      <c r="G14" s="23" t="s">
        <v>24</v>
      </c>
    </row>
  </sheetData>
  <mergeCells count="1">
    <mergeCell ref="A1:G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F205-B87C-40B7-BEBC-DCC46A457BED}">
  <dimension ref="A1:H3"/>
  <sheetViews>
    <sheetView zoomScale="90" zoomScaleNormal="90" workbookViewId="0">
      <selection activeCell="U7" sqref="U7"/>
    </sheetView>
  </sheetViews>
  <sheetFormatPr defaultRowHeight="14.5" x14ac:dyDescent="0.35"/>
  <sheetData>
    <row r="1" spans="1:8" s="1" customFormat="1" x14ac:dyDescent="0.35">
      <c r="A1" s="15" t="s">
        <v>26</v>
      </c>
      <c r="B1" s="15"/>
      <c r="C1" s="15"/>
      <c r="D1" s="15"/>
      <c r="E1" s="15"/>
      <c r="F1" s="15"/>
      <c r="G1" s="15"/>
      <c r="H1" s="15"/>
    </row>
    <row r="2" spans="1:8" s="1" customFormat="1" x14ac:dyDescent="0.35">
      <c r="A2" s="15"/>
      <c r="B2" s="15"/>
      <c r="C2" s="15"/>
      <c r="D2" s="15"/>
      <c r="E2" s="15"/>
      <c r="F2" s="15"/>
      <c r="G2" s="15"/>
      <c r="H2" s="15"/>
    </row>
    <row r="3" spans="1:8" s="1" customFormat="1" x14ac:dyDescent="0.35">
      <c r="A3" s="15"/>
      <c r="B3" s="15"/>
      <c r="C3" s="15"/>
      <c r="D3" s="15"/>
      <c r="E3" s="15"/>
      <c r="F3" s="15"/>
      <c r="G3" s="15"/>
      <c r="H3" s="15"/>
    </row>
  </sheetData>
  <mergeCells count="1">
    <mergeCell ref="A1:H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Introduction</vt:lpstr>
      <vt:lpstr>Assumptions</vt:lpstr>
      <vt:lpstr>Budgeted Figures</vt:lpstr>
      <vt:lpstr>Actual Vs Budgeted</vt:lpstr>
      <vt:lpstr>Expalination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Arjun Panwar</dc:creator>
  <cp:lastModifiedBy>Anmol Arjun Panwar</cp:lastModifiedBy>
  <dcterms:created xsi:type="dcterms:W3CDTF">2026-06-19T14:41:45Z</dcterms:created>
  <dcterms:modified xsi:type="dcterms:W3CDTF">2026-06-20T15:46:10Z</dcterms:modified>
</cp:coreProperties>
</file>